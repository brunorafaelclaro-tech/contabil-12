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tabil-4\"/>
    </mc:Choice>
  </mc:AlternateContent>
  <xr:revisionPtr revIDLastSave="0" documentId="13_ncr:1_{EBA03B7F-CF4B-4A6B-84D8-1358DF82341C}" xr6:coauthVersionLast="47" xr6:coauthVersionMax="47" xr10:uidLastSave="{00000000-0000-0000-0000-000000000000}"/>
  <bookViews>
    <workbookView xWindow="-57720" yWindow="1680" windowWidth="29040" windowHeight="15720" xr2:uid="{809C9465-CA74-463F-A739-7376CF8427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6" i="1" l="1"/>
  <c r="D170" i="1"/>
  <c r="D161" i="1"/>
  <c r="D147" i="1"/>
  <c r="D143" i="1"/>
  <c r="D130" i="1"/>
  <c r="D122" i="1"/>
  <c r="D115" i="1"/>
  <c r="D107" i="1"/>
  <c r="D101" i="1"/>
  <c r="D92" i="1"/>
  <c r="D85" i="1"/>
  <c r="D76" i="1"/>
  <c r="D68" i="1"/>
  <c r="D45" i="1"/>
  <c r="D24" i="1"/>
  <c r="D187" i="1" l="1"/>
  <c r="D148" i="1"/>
  <c r="D111" i="1"/>
  <c r="D93" i="1"/>
  <c r="D46" i="1"/>
  <c r="D78" i="1" s="1"/>
  <c r="D149" i="1" l="1"/>
  <c r="D94" i="1"/>
  <c r="D10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Claro</author>
  </authors>
  <commentList>
    <comment ref="D70" authorId="0" shapeId="0" xr:uid="{BE8B5920-D424-458D-96E6-682AB8CB86E7}">
      <text>
        <r>
          <rPr>
            <b/>
            <sz val="9"/>
            <color indexed="81"/>
            <rFont val="Tahoma"/>
            <family val="2"/>
          </rPr>
          <t>Bruno Claro:</t>
        </r>
        <r>
          <rPr>
            <sz val="9"/>
            <color indexed="81"/>
            <rFont val="Tahoma"/>
            <family val="2"/>
          </rPr>
          <t xml:space="preserve">
Sempre colocar esse valor em negativo</t>
        </r>
      </text>
    </comment>
    <comment ref="D73" authorId="0" shapeId="0" xr:uid="{42900166-4A8D-4259-8B78-C26734D64685}">
      <text>
        <r>
          <rPr>
            <b/>
            <sz val="9"/>
            <color indexed="81"/>
            <rFont val="Tahoma"/>
            <family val="2"/>
          </rPr>
          <t>Bruno Claro:</t>
        </r>
        <r>
          <rPr>
            <sz val="9"/>
            <color indexed="81"/>
            <rFont val="Tahoma"/>
            <family val="2"/>
          </rPr>
          <t xml:space="preserve">
Sempre colocar esse valor em negativo</t>
        </r>
      </text>
    </comment>
    <comment ref="D96" authorId="0" shapeId="0" xr:uid="{EC99EEC9-7024-4CE9-8AE8-75BFB20EF6E6}">
      <text>
        <r>
          <rPr>
            <b/>
            <sz val="9"/>
            <color indexed="81"/>
            <rFont val="Tahoma"/>
            <family val="2"/>
          </rPr>
          <t>Bruno Claro:</t>
        </r>
        <r>
          <rPr>
            <sz val="9"/>
            <color indexed="81"/>
            <rFont val="Tahoma"/>
            <family val="2"/>
          </rPr>
          <t xml:space="preserve">
Sempre colocar esse valor em positivo</t>
        </r>
      </text>
    </comment>
    <comment ref="D97" authorId="0" shapeId="0" xr:uid="{567A72EC-A6F9-4B42-BD16-AB5F50FCF658}">
      <text>
        <r>
          <rPr>
            <b/>
            <sz val="9"/>
            <color indexed="81"/>
            <rFont val="Tahoma"/>
            <family val="2"/>
          </rPr>
          <t>Bruno Claro:</t>
        </r>
        <r>
          <rPr>
            <sz val="9"/>
            <color indexed="81"/>
            <rFont val="Tahoma"/>
            <family val="2"/>
          </rPr>
          <t xml:space="preserve">
Sempre colocar esse valor em positivo</t>
        </r>
      </text>
    </comment>
  </commentList>
</comments>
</file>

<file path=xl/sharedStrings.xml><?xml version="1.0" encoding="utf-8"?>
<sst xmlns="http://schemas.openxmlformats.org/spreadsheetml/2006/main" count="369" uniqueCount="183">
  <si>
    <t>Income</t>
  </si>
  <si>
    <t>Consultant fees external</t>
  </si>
  <si>
    <t>Consultant fees within own Business Area</t>
  </si>
  <si>
    <t>Consultant fees to other Business Area</t>
  </si>
  <si>
    <t>Write- up/down of fees</t>
  </si>
  <si>
    <t>Provision not invoiced WIP</t>
  </si>
  <si>
    <t>Fee other dep. within same comp.</t>
  </si>
  <si>
    <t>Costs other dep. within same comp.</t>
  </si>
  <si>
    <t>Subcontractor fees</t>
  </si>
  <si>
    <t>Total fees</t>
  </si>
  <si>
    <t>Computers within projects</t>
  </si>
  <si>
    <t>Travel expenses, outlay</t>
  </si>
  <si>
    <t>Recharged expenses</t>
  </si>
  <si>
    <t>Training</t>
  </si>
  <si>
    <t>Sales of computers</t>
  </si>
  <si>
    <t>Rents</t>
  </si>
  <si>
    <t>Machinery fees</t>
  </si>
  <si>
    <t>Licences</t>
  </si>
  <si>
    <t>Exchange profit from business</t>
  </si>
  <si>
    <t>Capital gains on fixed assets</t>
  </si>
  <si>
    <t>Other income</t>
  </si>
  <si>
    <t>TOTAL INCOME</t>
  </si>
  <si>
    <t>Production costs</t>
  </si>
  <si>
    <t>Salary consultants</t>
  </si>
  <si>
    <t>Social Security</t>
  </si>
  <si>
    <t>Statutory and Social Security contributions</t>
  </si>
  <si>
    <t>Other personnel costs, consultants</t>
  </si>
  <si>
    <t>Subcontractors from group comp.</t>
  </si>
  <si>
    <t>Subcontractors</t>
  </si>
  <si>
    <t>Machinery costs</t>
  </si>
  <si>
    <t>Licence costs</t>
  </si>
  <si>
    <t xml:space="preserve">Costs for computers in projects </t>
  </si>
  <si>
    <t>Outlay/expenses projects</t>
  </si>
  <si>
    <t>Material cost to customers</t>
  </si>
  <si>
    <t>Computer software</t>
  </si>
  <si>
    <t>Operating costs test</t>
  </si>
  <si>
    <t>Education/training costs</t>
  </si>
  <si>
    <t>Microsoft Licence</t>
  </si>
  <si>
    <t>Cost of computers for sale</t>
  </si>
  <si>
    <t>Other production costs</t>
  </si>
  <si>
    <t>Depreciation intangible assets</t>
  </si>
  <si>
    <t>Depreciation tangible assets</t>
  </si>
  <si>
    <t>Total production costs</t>
  </si>
  <si>
    <t>GROSS PROFIT</t>
  </si>
  <si>
    <t>Salary administration</t>
  </si>
  <si>
    <t>Salary salesmen</t>
  </si>
  <si>
    <t>Salary leaders</t>
  </si>
  <si>
    <t>Other personnel costs</t>
  </si>
  <si>
    <t>Office rental costs</t>
  </si>
  <si>
    <t>Office expenses</t>
  </si>
  <si>
    <t xml:space="preserve">Insurance and other riskrelated costs   </t>
  </si>
  <si>
    <t>Consultants and external services  </t>
  </si>
  <si>
    <t>Communication</t>
  </si>
  <si>
    <t>Vehicle costs</t>
  </si>
  <si>
    <t>Sales and marketing costs</t>
  </si>
  <si>
    <t>Provision doubtful debts</t>
  </si>
  <si>
    <t>Reserve high risk debts</t>
  </si>
  <si>
    <t>Exchange loss from business</t>
  </si>
  <si>
    <t>Other costs</t>
  </si>
  <si>
    <t>Reversal One-off costs</t>
  </si>
  <si>
    <t>One-off costs</t>
  </si>
  <si>
    <t>Capital losses on fixed assets</t>
  </si>
  <si>
    <t>Total administration costs</t>
  </si>
  <si>
    <t>PROFIT BEFORE SaS</t>
  </si>
  <si>
    <t>Management fee Semcon AB</t>
  </si>
  <si>
    <t>Shared Service fee</t>
  </si>
  <si>
    <t>Management fee Reduciton</t>
  </si>
  <si>
    <t>Internal Business Area OH</t>
  </si>
  <si>
    <t>Internal Region OH</t>
  </si>
  <si>
    <t>Other management fees</t>
  </si>
  <si>
    <t>Total SaS</t>
  </si>
  <si>
    <t>Manager bonus</t>
  </si>
  <si>
    <t>EBIT</t>
  </si>
  <si>
    <t>Dividend from group companies</t>
  </si>
  <si>
    <t>Result from sale of group companies</t>
  </si>
  <si>
    <t>Interest income</t>
  </si>
  <si>
    <t>Interest income, group companies</t>
  </si>
  <si>
    <t>Exchange profit from financing</t>
  </si>
  <si>
    <t>Other financial income</t>
  </si>
  <si>
    <t>Total financial income</t>
  </si>
  <si>
    <t>Write-down of assets in group companies</t>
  </si>
  <si>
    <t>Interest expenses</t>
  </si>
  <si>
    <t>Interest expenses pension obligations</t>
  </si>
  <si>
    <t>Interest expenses, group companies</t>
  </si>
  <si>
    <t>Exchange loss from financing</t>
  </si>
  <si>
    <t>Other financial expenses</t>
  </si>
  <si>
    <t>Total financial expenses</t>
  </si>
  <si>
    <t>Finance net</t>
  </si>
  <si>
    <t>PROFIT AFTER FINANCIAL ITEMS</t>
  </si>
  <si>
    <t>Contribution from/to group companies</t>
  </si>
  <si>
    <t>Centrally approved items Semcon Operative fee</t>
  </si>
  <si>
    <t>Centrally approved items Internal Business fee</t>
  </si>
  <si>
    <t>Centrally approved items Legal Service fee</t>
  </si>
  <si>
    <t>Centrally approved items Other</t>
  </si>
  <si>
    <t>Other appropriations</t>
  </si>
  <si>
    <t>Total appropriations</t>
  </si>
  <si>
    <t>PROFIT BEFORE TAXES</t>
  </si>
  <si>
    <t>Current tax</t>
  </si>
  <si>
    <t>WHT (Whithold tax)</t>
  </si>
  <si>
    <t>Deferred tax</t>
  </si>
  <si>
    <t>Other tax</t>
  </si>
  <si>
    <t>Total tax</t>
  </si>
  <si>
    <t>Net profit or loss for the year</t>
  </si>
  <si>
    <t>ASSETS</t>
  </si>
  <si>
    <t>Fixed assets</t>
  </si>
  <si>
    <t>Intangible assets</t>
  </si>
  <si>
    <t>Goodwill</t>
  </si>
  <si>
    <t>Other intangible assets</t>
  </si>
  <si>
    <t>Total intangible assets</t>
  </si>
  <si>
    <t>Tangible assets</t>
  </si>
  <si>
    <t>Buildings and land</t>
  </si>
  <si>
    <t>Plant and machinery</t>
  </si>
  <si>
    <t>Equipment</t>
  </si>
  <si>
    <t>Computers</t>
  </si>
  <si>
    <t>Total tangible assets</t>
  </si>
  <si>
    <t>Financial assets</t>
  </si>
  <si>
    <t>Shares in group companies</t>
  </si>
  <si>
    <t>Shares in associated companies</t>
  </si>
  <si>
    <t>Deferred tax assets</t>
  </si>
  <si>
    <t>Long-term receivables group companies</t>
  </si>
  <si>
    <t>Other financial assets</t>
  </si>
  <si>
    <t>Total financial assets</t>
  </si>
  <si>
    <t>Total fixed assets</t>
  </si>
  <si>
    <t>Current assets</t>
  </si>
  <si>
    <t>Accounts receivable, external</t>
  </si>
  <si>
    <t>Accounts receivable, group companies</t>
  </si>
  <si>
    <t>Accounts receivable, Ratos group companies</t>
  </si>
  <si>
    <t>Inventories</t>
  </si>
  <si>
    <t>Work in progress</t>
  </si>
  <si>
    <t>Current tax receivable</t>
  </si>
  <si>
    <t>Other current receivables, employees</t>
  </si>
  <si>
    <t>Other current receivables, external</t>
  </si>
  <si>
    <t>Other current receivables, group companies</t>
  </si>
  <si>
    <t>Prepaid expenses and accrued income</t>
  </si>
  <si>
    <t>Total current assets excl. cash</t>
  </si>
  <si>
    <t>Cash pool receivables, group companies</t>
  </si>
  <si>
    <t>Short-term financial investments</t>
  </si>
  <si>
    <t>Cash and bank</t>
  </si>
  <si>
    <t>Total cash and bank equivalent</t>
  </si>
  <si>
    <t>Total current assets</t>
  </si>
  <si>
    <t>TOTAL ASSETS</t>
  </si>
  <si>
    <t/>
  </si>
  <si>
    <t>SHAREHOLDERS' EQUITY AND LIABILITIES</t>
  </si>
  <si>
    <t xml:space="preserve">Shareholders' equity  </t>
  </si>
  <si>
    <t>Restricted equity</t>
  </si>
  <si>
    <t>Share capital</t>
  </si>
  <si>
    <t>Restricted reserves</t>
  </si>
  <si>
    <t>Non-restricted equity</t>
  </si>
  <si>
    <t xml:space="preserve">Profit brought forward   </t>
  </si>
  <si>
    <t>Minority interest</t>
  </si>
  <si>
    <t>Total shareholders' equity</t>
  </si>
  <si>
    <t>Untaxed reserves</t>
  </si>
  <si>
    <t>Long-term liabilities</t>
  </si>
  <si>
    <t>Deferred tax liabilities</t>
  </si>
  <si>
    <t>Pension obligations</t>
  </si>
  <si>
    <t>Other long-term provisions</t>
  </si>
  <si>
    <t>Other long-term interest-bearing liabilities</t>
  </si>
  <si>
    <t>Other long-term non interest-bearing liabilities</t>
  </si>
  <si>
    <t>Other long-term liabilities, group companies</t>
  </si>
  <si>
    <t>Total long-term liabilities</t>
  </si>
  <si>
    <t>Current liabilities</t>
  </si>
  <si>
    <t>Cash pool liabilities, group companies</t>
  </si>
  <si>
    <t>Overdraft facilities, external</t>
  </si>
  <si>
    <t xml:space="preserve">Other current interest-bearing liabilities </t>
  </si>
  <si>
    <t>Accounts payable, external</t>
  </si>
  <si>
    <t>Accounts payable, group companies</t>
  </si>
  <si>
    <t>Current tax liabilities</t>
  </si>
  <si>
    <t>Advance payments from customers</t>
  </si>
  <si>
    <t>Other current liabilities, employees</t>
  </si>
  <si>
    <t>Other current liabilities, external</t>
  </si>
  <si>
    <t>Loans</t>
  </si>
  <si>
    <t>Other current liabilities, group companies</t>
  </si>
  <si>
    <t>Other current provisions</t>
  </si>
  <si>
    <t>Accrued expenses, employees &amp; subcontractors</t>
  </si>
  <si>
    <t>Accrued expenses and prepaid income</t>
  </si>
  <si>
    <t>Total current liabilities</t>
  </si>
  <si>
    <t>TOTAL SHAREHOLDERS' EQUITY AND LIABILITIES</t>
  </si>
  <si>
    <t>Conta OCRA</t>
  </si>
  <si>
    <t>Description</t>
  </si>
  <si>
    <t>Value</t>
  </si>
  <si>
    <t>Tipo</t>
  </si>
  <si>
    <t>DRE</t>
  </si>
  <si>
    <t>Balanço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</si>
</sst>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i/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66">
    <xf numFmtId="0" fontId="0" fillId="0" borderId="0" xfId="0"/>
    <xf numFmtId="0" fontId="4" fillId="0" borderId="1" xfId="2" quotePrefix="1" applyFont="1" applyBorder="1" applyAlignment="1">
      <alignment horizontal="left" wrapText="1"/>
    </xf>
    <xf numFmtId="164" fontId="2" fillId="0" borderId="0" xfId="1" applyNumberFormat="1" applyFont="1"/>
    <xf numFmtId="0" fontId="5" fillId="0" borderId="2" xfId="2" quotePrefix="1" applyFont="1" applyBorder="1"/>
    <xf numFmtId="0" fontId="5" fillId="0" borderId="3" xfId="2" quotePrefix="1" applyFont="1" applyBorder="1"/>
    <xf numFmtId="1" fontId="4" fillId="0" borderId="2" xfId="2" quotePrefix="1" applyNumberFormat="1" applyFont="1" applyBorder="1" applyAlignment="1">
      <alignment horizontal="left"/>
    </xf>
    <xf numFmtId="3" fontId="4" fillId="0" borderId="3" xfId="2" quotePrefix="1" applyNumberFormat="1" applyFont="1" applyBorder="1"/>
    <xf numFmtId="3" fontId="4" fillId="0" borderId="3" xfId="2" applyNumberFormat="1" applyFont="1" applyBorder="1"/>
    <xf numFmtId="0" fontId="4" fillId="0" borderId="3" xfId="2" quotePrefix="1" applyFont="1" applyBorder="1"/>
    <xf numFmtId="1" fontId="6" fillId="0" borderId="2" xfId="2" quotePrefix="1" applyNumberFormat="1" applyFont="1" applyBorder="1" applyAlignment="1">
      <alignment horizontal="left"/>
    </xf>
    <xf numFmtId="3" fontId="6" fillId="0" borderId="3" xfId="2" quotePrefix="1" applyNumberFormat="1" applyFont="1" applyBorder="1"/>
    <xf numFmtId="1" fontId="5" fillId="0" borderId="2" xfId="2" quotePrefix="1" applyNumberFormat="1" applyFont="1" applyBorder="1" applyAlignment="1">
      <alignment horizontal="left"/>
    </xf>
    <xf numFmtId="3" fontId="5" fillId="0" borderId="3" xfId="2" quotePrefix="1" applyNumberFormat="1" applyFont="1" applyBorder="1"/>
    <xf numFmtId="3" fontId="5" fillId="2" borderId="3" xfId="2" quotePrefix="1" applyNumberFormat="1" applyFont="1" applyFill="1" applyBorder="1"/>
    <xf numFmtId="1" fontId="4" fillId="0" borderId="2" xfId="2" applyNumberFormat="1" applyFont="1" applyBorder="1" applyAlignment="1">
      <alignment horizontal="left"/>
    </xf>
    <xf numFmtId="1" fontId="5" fillId="0" borderId="4" xfId="2" quotePrefix="1" applyNumberFormat="1" applyFont="1" applyBorder="1" applyAlignment="1">
      <alignment horizontal="left"/>
    </xf>
    <xf numFmtId="3" fontId="5" fillId="0" borderId="5" xfId="2" quotePrefix="1" applyNumberFormat="1" applyFont="1" applyBorder="1"/>
    <xf numFmtId="1" fontId="4" fillId="3" borderId="6" xfId="2" quotePrefix="1" applyNumberFormat="1" applyFont="1" applyFill="1" applyBorder="1" applyAlignment="1">
      <alignment horizontal="left"/>
    </xf>
    <xf numFmtId="0" fontId="4" fillId="3" borderId="7" xfId="2" quotePrefix="1" applyFont="1" applyFill="1" applyBorder="1"/>
    <xf numFmtId="164" fontId="2" fillId="3" borderId="0" xfId="1" applyNumberFormat="1" applyFont="1" applyFill="1"/>
    <xf numFmtId="1" fontId="4" fillId="3" borderId="2" xfId="2" quotePrefix="1" applyNumberFormat="1" applyFont="1" applyFill="1" applyBorder="1" applyAlignment="1">
      <alignment horizontal="left"/>
    </xf>
    <xf numFmtId="0" fontId="4" fillId="3" borderId="3" xfId="2" quotePrefix="1" applyFont="1" applyFill="1" applyBorder="1"/>
    <xf numFmtId="164" fontId="2" fillId="2" borderId="0" xfId="1" applyNumberFormat="1" applyFont="1" applyFill="1"/>
    <xf numFmtId="0" fontId="4" fillId="0" borderId="2" xfId="2" applyFont="1" applyBorder="1" applyAlignment="1">
      <alignment horizontal="left"/>
    </xf>
    <xf numFmtId="0" fontId="4" fillId="0" borderId="3" xfId="2" applyFont="1" applyBorder="1"/>
    <xf numFmtId="164" fontId="2" fillId="4" borderId="0" xfId="1" applyNumberFormat="1" applyFont="1" applyFill="1"/>
    <xf numFmtId="0" fontId="5" fillId="0" borderId="2" xfId="2" applyFont="1" applyBorder="1" applyAlignment="1">
      <alignment horizontal="left"/>
    </xf>
    <xf numFmtId="0" fontId="5" fillId="2" borderId="3" xfId="2" applyFont="1" applyFill="1" applyBorder="1"/>
    <xf numFmtId="0" fontId="4" fillId="0" borderId="2" xfId="2" quotePrefix="1" applyFont="1" applyBorder="1" applyAlignment="1">
      <alignment horizontal="left"/>
    </xf>
    <xf numFmtId="3" fontId="7" fillId="0" borderId="2" xfId="2" applyNumberFormat="1" applyFont="1" applyBorder="1" applyAlignment="1">
      <alignment horizontal="left"/>
    </xf>
    <xf numFmtId="3" fontId="7" fillId="2" borderId="3" xfId="2" applyNumberFormat="1" applyFont="1" applyFill="1" applyBorder="1"/>
    <xf numFmtId="1" fontId="5" fillId="0" borderId="2" xfId="2" applyNumberFormat="1" applyFont="1" applyBorder="1" applyAlignment="1">
      <alignment horizontal="left"/>
    </xf>
    <xf numFmtId="3" fontId="5" fillId="2" borderId="3" xfId="2" applyNumberFormat="1" applyFont="1" applyFill="1" applyBorder="1"/>
    <xf numFmtId="0" fontId="4" fillId="3" borderId="2" xfId="2" applyFont="1" applyFill="1" applyBorder="1" applyAlignment="1">
      <alignment horizontal="left"/>
    </xf>
    <xf numFmtId="0" fontId="4" fillId="3" borderId="3" xfId="2" applyFont="1" applyFill="1" applyBorder="1"/>
    <xf numFmtId="0" fontId="5" fillId="0" borderId="3" xfId="2" applyFont="1" applyBorder="1"/>
    <xf numFmtId="0" fontId="5" fillId="0" borderId="2" xfId="2" quotePrefix="1" applyFont="1" applyBorder="1" applyAlignment="1">
      <alignment horizontal="left"/>
    </xf>
    <xf numFmtId="0" fontId="5" fillId="2" borderId="3" xfId="2" quotePrefix="1" applyFont="1" applyFill="1" applyBorder="1"/>
    <xf numFmtId="0" fontId="2" fillId="0" borderId="0" xfId="2" applyAlignment="1">
      <alignment horizontal="left"/>
    </xf>
    <xf numFmtId="0" fontId="2" fillId="0" borderId="0" xfId="2"/>
    <xf numFmtId="1" fontId="3" fillId="0" borderId="2" xfId="2" applyNumberFormat="1" applyFont="1" applyBorder="1" applyAlignment="1">
      <alignment horizontal="left"/>
    </xf>
    <xf numFmtId="0" fontId="3" fillId="0" borderId="8" xfId="2" applyFont="1" applyBorder="1"/>
    <xf numFmtId="3" fontId="3" fillId="0" borderId="8" xfId="2" applyNumberFormat="1" applyFont="1" applyBorder="1"/>
    <xf numFmtId="1" fontId="8" fillId="0" borderId="2" xfId="2" applyNumberFormat="1" applyFont="1" applyBorder="1" applyAlignment="1">
      <alignment horizontal="left"/>
    </xf>
    <xf numFmtId="1" fontId="9" fillId="0" borderId="2" xfId="2" quotePrefix="1" applyNumberFormat="1" applyFont="1" applyBorder="1" applyAlignment="1">
      <alignment horizontal="left"/>
    </xf>
    <xf numFmtId="3" fontId="9" fillId="0" borderId="8" xfId="2" quotePrefix="1" applyNumberFormat="1" applyFont="1" applyBorder="1"/>
    <xf numFmtId="1" fontId="9" fillId="0" borderId="2" xfId="2" applyNumberFormat="1" applyFont="1" applyBorder="1" applyAlignment="1">
      <alignment horizontal="left"/>
    </xf>
    <xf numFmtId="0" fontId="9" fillId="0" borderId="8" xfId="2" applyFont="1" applyBorder="1"/>
    <xf numFmtId="1" fontId="10" fillId="0" borderId="2" xfId="2" applyNumberFormat="1" applyFont="1" applyBorder="1" applyAlignment="1">
      <alignment horizontal="left"/>
    </xf>
    <xf numFmtId="3" fontId="10" fillId="0" borderId="8" xfId="2" applyNumberFormat="1" applyFont="1" applyBorder="1"/>
    <xf numFmtId="3" fontId="9" fillId="0" borderId="8" xfId="2" applyNumberFormat="1" applyFont="1" applyBorder="1"/>
    <xf numFmtId="1" fontId="3" fillId="0" borderId="2" xfId="2" applyNumberFormat="1" applyFont="1" applyBorder="1" applyAlignment="1">
      <alignment horizontal="left" vertical="top"/>
    </xf>
    <xf numFmtId="3" fontId="3" fillId="0" borderId="8" xfId="2" applyNumberFormat="1" applyFont="1" applyBorder="1" applyAlignment="1">
      <alignment vertical="top"/>
    </xf>
    <xf numFmtId="1" fontId="9" fillId="0" borderId="2" xfId="2" applyNumberFormat="1" applyFont="1" applyBorder="1" applyAlignment="1">
      <alignment horizontal="left" vertical="top"/>
    </xf>
    <xf numFmtId="1" fontId="11" fillId="0" borderId="2" xfId="2" applyNumberFormat="1" applyFont="1" applyBorder="1" applyAlignment="1">
      <alignment horizontal="left"/>
    </xf>
    <xf numFmtId="3" fontId="11" fillId="0" borderId="8" xfId="2" applyNumberFormat="1" applyFont="1" applyBorder="1"/>
    <xf numFmtId="1" fontId="9" fillId="0" borderId="9" xfId="2" quotePrefix="1" applyNumberFormat="1" applyFont="1" applyBorder="1" applyAlignment="1">
      <alignment horizontal="left"/>
    </xf>
    <xf numFmtId="0" fontId="9" fillId="0" borderId="10" xfId="2" quotePrefix="1" applyFont="1" applyBorder="1"/>
    <xf numFmtId="1" fontId="3" fillId="0" borderId="6" xfId="2" applyNumberFormat="1" applyFont="1" applyBorder="1" applyAlignment="1">
      <alignment horizontal="left"/>
    </xf>
    <xf numFmtId="3" fontId="3" fillId="0" borderId="11" xfId="2" applyNumberFormat="1" applyFont="1" applyBorder="1"/>
    <xf numFmtId="1" fontId="12" fillId="0" borderId="2" xfId="2" applyNumberFormat="1" applyFont="1" applyBorder="1" applyAlignment="1">
      <alignment horizontal="left"/>
    </xf>
    <xf numFmtId="3" fontId="8" fillId="0" borderId="8" xfId="2" applyNumberFormat="1" applyFont="1" applyBorder="1"/>
    <xf numFmtId="1" fontId="3" fillId="0" borderId="2" xfId="2" quotePrefix="1" applyNumberFormat="1" applyFont="1" applyBorder="1" applyAlignment="1">
      <alignment horizontal="left"/>
    </xf>
    <xf numFmtId="0" fontId="3" fillId="0" borderId="8" xfId="2" quotePrefix="1" applyFont="1" applyBorder="1"/>
    <xf numFmtId="164" fontId="15" fillId="0" borderId="0" xfId="1" applyNumberFormat="1" applyFont="1"/>
    <xf numFmtId="164" fontId="0" fillId="0" borderId="0" xfId="0" applyNumberFormat="1"/>
  </cellXfs>
  <cellStyles count="3">
    <cellStyle name="Normal" xfId="0" builtinId="0"/>
    <cellStyle name="Normal 2" xfId="2" xr:uid="{52D36FAB-60A7-4C32-8766-F997F9DE3BC8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83A2-D22B-418A-9ADC-01C62F1B319B}">
  <dimension ref="A2:D188"/>
  <sheetViews>
    <sheetView tabSelected="1" workbookViewId="0">
      <selection activeCell="C187" sqref="A2:C187"/>
    </sheetView>
  </sheetViews>
  <sheetFormatPr defaultRowHeight="14.4" x14ac:dyDescent="0.3"/>
  <cols>
    <col min="2" max="2" width="14" customWidth="1"/>
    <col min="3" max="3" width="42.44140625" bestFit="1" customWidth="1"/>
    <col min="4" max="4" width="14.33203125" bestFit="1" customWidth="1"/>
  </cols>
  <sheetData>
    <row r="2" spans="1:4" x14ac:dyDescent="0.3">
      <c r="A2" t="s">
        <v>180</v>
      </c>
      <c r="B2" s="3" t="s">
        <v>177</v>
      </c>
      <c r="C2" s="1" t="s">
        <v>178</v>
      </c>
      <c r="D2" s="2" t="s">
        <v>179</v>
      </c>
    </row>
    <row r="3" spans="1:4" x14ac:dyDescent="0.3">
      <c r="B3" s="3"/>
      <c r="C3" s="4" t="s">
        <v>0</v>
      </c>
      <c r="D3" s="2"/>
    </row>
    <row r="4" spans="1:4" x14ac:dyDescent="0.3">
      <c r="A4" t="s">
        <v>181</v>
      </c>
      <c r="B4" s="5">
        <v>3010</v>
      </c>
      <c r="C4" s="6" t="s">
        <v>1</v>
      </c>
      <c r="D4" s="2">
        <v>122054273.0293</v>
      </c>
    </row>
    <row r="5" spans="1:4" x14ac:dyDescent="0.3">
      <c r="A5" t="s">
        <v>181</v>
      </c>
      <c r="B5" s="5">
        <v>3556</v>
      </c>
      <c r="C5" s="7" t="s">
        <v>2</v>
      </c>
      <c r="D5" s="2">
        <v>0</v>
      </c>
    </row>
    <row r="6" spans="1:4" x14ac:dyDescent="0.3">
      <c r="A6" t="s">
        <v>181</v>
      </c>
      <c r="B6" s="5">
        <v>3557</v>
      </c>
      <c r="C6" s="7" t="s">
        <v>3</v>
      </c>
      <c r="D6" s="2">
        <v>0</v>
      </c>
    </row>
    <row r="7" spans="1:4" x14ac:dyDescent="0.3">
      <c r="A7" t="s">
        <v>181</v>
      </c>
      <c r="B7" s="5">
        <v>3015</v>
      </c>
      <c r="C7" s="6" t="s">
        <v>4</v>
      </c>
      <c r="D7" s="2">
        <v>0</v>
      </c>
    </row>
    <row r="8" spans="1:4" x14ac:dyDescent="0.3">
      <c r="A8" t="s">
        <v>181</v>
      </c>
      <c r="B8" s="5">
        <v>3095</v>
      </c>
      <c r="C8" s="8" t="s">
        <v>5</v>
      </c>
      <c r="D8" s="2">
        <v>0</v>
      </c>
    </row>
    <row r="9" spans="1:4" x14ac:dyDescent="0.3">
      <c r="A9" t="s">
        <v>181</v>
      </c>
      <c r="B9" s="5">
        <v>3019</v>
      </c>
      <c r="C9" s="6" t="s">
        <v>6</v>
      </c>
      <c r="D9" s="2">
        <v>0</v>
      </c>
    </row>
    <row r="10" spans="1:4" x14ac:dyDescent="0.3">
      <c r="A10" t="s">
        <v>181</v>
      </c>
      <c r="B10" s="5">
        <v>3018</v>
      </c>
      <c r="C10" s="6" t="s">
        <v>7</v>
      </c>
      <c r="D10" s="2">
        <v>0</v>
      </c>
    </row>
    <row r="11" spans="1:4" x14ac:dyDescent="0.3">
      <c r="A11" t="s">
        <v>181</v>
      </c>
      <c r="B11" s="9">
        <v>3030</v>
      </c>
      <c r="C11" s="10" t="s">
        <v>8</v>
      </c>
      <c r="D11" s="2">
        <v>0</v>
      </c>
    </row>
    <row r="12" spans="1:4" x14ac:dyDescent="0.3">
      <c r="A12" t="s">
        <v>181</v>
      </c>
      <c r="B12" s="11"/>
      <c r="C12" s="12" t="s">
        <v>9</v>
      </c>
      <c r="D12" s="2">
        <v>0</v>
      </c>
    </row>
    <row r="13" spans="1:4" x14ac:dyDescent="0.3">
      <c r="A13" t="s">
        <v>181</v>
      </c>
      <c r="B13" s="5">
        <v>3413</v>
      </c>
      <c r="C13" s="6" t="s">
        <v>10</v>
      </c>
      <c r="D13" s="2">
        <v>0</v>
      </c>
    </row>
    <row r="14" spans="1:4" x14ac:dyDescent="0.3">
      <c r="A14" t="s">
        <v>181</v>
      </c>
      <c r="B14" s="5">
        <v>3040</v>
      </c>
      <c r="C14" s="6" t="s">
        <v>11</v>
      </c>
      <c r="D14" s="2">
        <v>0</v>
      </c>
    </row>
    <row r="15" spans="1:4" x14ac:dyDescent="0.3">
      <c r="A15" t="s">
        <v>181</v>
      </c>
      <c r="B15" s="5">
        <v>3050</v>
      </c>
      <c r="C15" s="6" t="s">
        <v>12</v>
      </c>
      <c r="D15" s="2">
        <v>0</v>
      </c>
    </row>
    <row r="16" spans="1:4" x14ac:dyDescent="0.3">
      <c r="A16" t="s">
        <v>181</v>
      </c>
      <c r="B16" s="5">
        <v>3110</v>
      </c>
      <c r="C16" s="6" t="s">
        <v>13</v>
      </c>
      <c r="D16" s="2">
        <v>0</v>
      </c>
    </row>
    <row r="17" spans="1:4" x14ac:dyDescent="0.3">
      <c r="A17" t="s">
        <v>181</v>
      </c>
      <c r="B17" s="5">
        <v>3521</v>
      </c>
      <c r="C17" s="6" t="s">
        <v>14</v>
      </c>
      <c r="D17" s="2">
        <v>0</v>
      </c>
    </row>
    <row r="18" spans="1:4" x14ac:dyDescent="0.3">
      <c r="A18" t="s">
        <v>181</v>
      </c>
      <c r="B18" s="5">
        <v>3910</v>
      </c>
      <c r="C18" s="6" t="s">
        <v>15</v>
      </c>
      <c r="D18" s="2">
        <v>0</v>
      </c>
    </row>
    <row r="19" spans="1:4" x14ac:dyDescent="0.3">
      <c r="A19" t="s">
        <v>181</v>
      </c>
      <c r="B19" s="5">
        <v>3510</v>
      </c>
      <c r="C19" s="8" t="s">
        <v>16</v>
      </c>
      <c r="D19" s="2">
        <v>0</v>
      </c>
    </row>
    <row r="20" spans="1:4" x14ac:dyDescent="0.3">
      <c r="A20" t="s">
        <v>181</v>
      </c>
      <c r="B20" s="5">
        <v>32101</v>
      </c>
      <c r="C20" s="6" t="s">
        <v>17</v>
      </c>
      <c r="D20" s="2">
        <v>0</v>
      </c>
    </row>
    <row r="21" spans="1:4" x14ac:dyDescent="0.3">
      <c r="A21" t="s">
        <v>181</v>
      </c>
      <c r="B21" s="5">
        <v>3960</v>
      </c>
      <c r="C21" s="7" t="s">
        <v>18</v>
      </c>
      <c r="D21" s="2">
        <v>0</v>
      </c>
    </row>
    <row r="22" spans="1:4" x14ac:dyDescent="0.3">
      <c r="A22" t="s">
        <v>181</v>
      </c>
      <c r="B22" s="5">
        <v>3973</v>
      </c>
      <c r="C22" s="7" t="s">
        <v>19</v>
      </c>
      <c r="D22" s="2">
        <v>0</v>
      </c>
    </row>
    <row r="23" spans="1:4" x14ac:dyDescent="0.3">
      <c r="A23" t="s">
        <v>181</v>
      </c>
      <c r="B23" s="5">
        <v>3900</v>
      </c>
      <c r="C23" s="6" t="s">
        <v>20</v>
      </c>
      <c r="D23" s="2">
        <v>0</v>
      </c>
    </row>
    <row r="24" spans="1:4" x14ac:dyDescent="0.3">
      <c r="A24" t="s">
        <v>181</v>
      </c>
      <c r="B24" s="11"/>
      <c r="C24" s="13" t="s">
        <v>21</v>
      </c>
      <c r="D24" s="64">
        <f>SUM(D4:D23)</f>
        <v>122054273.0293</v>
      </c>
    </row>
    <row r="25" spans="1:4" x14ac:dyDescent="0.3">
      <c r="A25" t="s">
        <v>181</v>
      </c>
      <c r="B25" s="11"/>
      <c r="C25" s="4" t="s">
        <v>22</v>
      </c>
      <c r="D25" s="2"/>
    </row>
    <row r="26" spans="1:4" x14ac:dyDescent="0.3">
      <c r="A26" t="s">
        <v>181</v>
      </c>
      <c r="B26" s="5">
        <v>7210</v>
      </c>
      <c r="C26" s="6" t="s">
        <v>23</v>
      </c>
      <c r="D26" s="2">
        <v>-76498267.650000006</v>
      </c>
    </row>
    <row r="27" spans="1:4" x14ac:dyDescent="0.3">
      <c r="A27" t="s">
        <v>181</v>
      </c>
      <c r="B27" s="5">
        <v>7200</v>
      </c>
      <c r="C27" s="6" t="s">
        <v>24</v>
      </c>
      <c r="D27" s="2">
        <v>0</v>
      </c>
    </row>
    <row r="28" spans="1:4" x14ac:dyDescent="0.3">
      <c r="A28" t="s">
        <v>181</v>
      </c>
      <c r="B28" s="5">
        <v>7500</v>
      </c>
      <c r="C28" s="6" t="s">
        <v>25</v>
      </c>
      <c r="D28" s="2">
        <v>-12801145.879999999</v>
      </c>
    </row>
    <row r="29" spans="1:4" x14ac:dyDescent="0.3">
      <c r="A29" t="s">
        <v>181</v>
      </c>
      <c r="B29" s="5">
        <v>74001</v>
      </c>
      <c r="C29" s="8" t="s">
        <v>26</v>
      </c>
      <c r="D29" s="2">
        <v>0</v>
      </c>
    </row>
    <row r="30" spans="1:4" x14ac:dyDescent="0.3">
      <c r="A30" t="s">
        <v>181</v>
      </c>
      <c r="B30" s="5">
        <v>4619</v>
      </c>
      <c r="C30" s="8" t="s">
        <v>27</v>
      </c>
      <c r="D30" s="2">
        <v>0</v>
      </c>
    </row>
    <row r="31" spans="1:4" x14ac:dyDescent="0.3">
      <c r="A31" t="s">
        <v>181</v>
      </c>
      <c r="B31" s="5">
        <v>4110</v>
      </c>
      <c r="C31" s="6" t="s">
        <v>28</v>
      </c>
      <c r="D31" s="2">
        <v>0</v>
      </c>
    </row>
    <row r="32" spans="1:4" x14ac:dyDescent="0.3">
      <c r="A32" t="s">
        <v>181</v>
      </c>
      <c r="B32" s="5">
        <v>4200</v>
      </c>
      <c r="C32" s="8" t="s">
        <v>29</v>
      </c>
      <c r="D32" s="2">
        <v>0</v>
      </c>
    </row>
    <row r="33" spans="1:4" x14ac:dyDescent="0.3">
      <c r="A33" t="s">
        <v>181</v>
      </c>
      <c r="B33" s="5">
        <v>4040</v>
      </c>
      <c r="C33" s="8" t="s">
        <v>30</v>
      </c>
      <c r="D33" s="2">
        <v>-2840793.3800000004</v>
      </c>
    </row>
    <row r="34" spans="1:4" x14ac:dyDescent="0.3">
      <c r="A34" t="s">
        <v>181</v>
      </c>
      <c r="B34" s="5">
        <v>4211</v>
      </c>
      <c r="C34" s="6" t="s">
        <v>31</v>
      </c>
      <c r="D34" s="2">
        <v>0</v>
      </c>
    </row>
    <row r="35" spans="1:4" x14ac:dyDescent="0.3">
      <c r="A35" t="s">
        <v>181</v>
      </c>
      <c r="B35" s="9">
        <v>4550</v>
      </c>
      <c r="C35" s="10" t="s">
        <v>32</v>
      </c>
      <c r="D35" s="2">
        <v>0</v>
      </c>
    </row>
    <row r="36" spans="1:4" x14ac:dyDescent="0.3">
      <c r="A36" t="s">
        <v>181</v>
      </c>
      <c r="B36" s="5">
        <v>4670</v>
      </c>
      <c r="C36" s="6" t="s">
        <v>33</v>
      </c>
      <c r="D36" s="2">
        <v>0</v>
      </c>
    </row>
    <row r="37" spans="1:4" x14ac:dyDescent="0.3">
      <c r="A37" t="s">
        <v>181</v>
      </c>
      <c r="B37" s="5">
        <v>4630</v>
      </c>
      <c r="C37" s="6" t="s">
        <v>34</v>
      </c>
      <c r="D37" s="2">
        <v>0</v>
      </c>
    </row>
    <row r="38" spans="1:4" x14ac:dyDescent="0.3">
      <c r="A38" t="s">
        <v>181</v>
      </c>
      <c r="B38" s="5">
        <v>4223</v>
      </c>
      <c r="C38" s="6" t="s">
        <v>35</v>
      </c>
      <c r="D38" s="2">
        <v>0</v>
      </c>
    </row>
    <row r="39" spans="1:4" x14ac:dyDescent="0.3">
      <c r="A39" t="s">
        <v>181</v>
      </c>
      <c r="B39" s="5">
        <v>4185</v>
      </c>
      <c r="C39" s="6" t="s">
        <v>36</v>
      </c>
      <c r="D39" s="2">
        <v>0</v>
      </c>
    </row>
    <row r="40" spans="1:4" x14ac:dyDescent="0.3">
      <c r="A40" t="s">
        <v>181</v>
      </c>
      <c r="B40" s="5">
        <v>6624</v>
      </c>
      <c r="C40" s="6" t="s">
        <v>37</v>
      </c>
      <c r="D40" s="2">
        <v>0</v>
      </c>
    </row>
    <row r="41" spans="1:4" x14ac:dyDescent="0.3">
      <c r="A41" t="s">
        <v>181</v>
      </c>
      <c r="B41" s="5">
        <v>4022</v>
      </c>
      <c r="C41" s="6" t="s">
        <v>38</v>
      </c>
      <c r="D41" s="2">
        <v>0</v>
      </c>
    </row>
    <row r="42" spans="1:4" x14ac:dyDescent="0.3">
      <c r="A42" t="s">
        <v>181</v>
      </c>
      <c r="B42" s="5">
        <v>4730</v>
      </c>
      <c r="C42" s="6" t="s">
        <v>39</v>
      </c>
      <c r="D42" s="2">
        <v>-2807997.34</v>
      </c>
    </row>
    <row r="43" spans="1:4" x14ac:dyDescent="0.3">
      <c r="A43" t="s">
        <v>181</v>
      </c>
      <c r="B43" s="14">
        <v>7860</v>
      </c>
      <c r="C43" s="7" t="s">
        <v>40</v>
      </c>
      <c r="D43" s="2">
        <v>-158476.89000000001</v>
      </c>
    </row>
    <row r="44" spans="1:4" x14ac:dyDescent="0.3">
      <c r="A44" t="s">
        <v>181</v>
      </c>
      <c r="B44" s="14">
        <v>7850</v>
      </c>
      <c r="C44" s="8" t="s">
        <v>41</v>
      </c>
      <c r="D44" s="2">
        <v>-767332.52</v>
      </c>
    </row>
    <row r="45" spans="1:4" x14ac:dyDescent="0.3">
      <c r="A45" t="s">
        <v>181</v>
      </c>
      <c r="B45" s="11"/>
      <c r="C45" s="13" t="s">
        <v>42</v>
      </c>
      <c r="D45" s="64">
        <f>SUM(D26:D44)</f>
        <v>-95874013.659999996</v>
      </c>
    </row>
    <row r="46" spans="1:4" x14ac:dyDescent="0.3">
      <c r="A46" t="s">
        <v>181</v>
      </c>
      <c r="B46" s="11"/>
      <c r="C46" s="13" t="s">
        <v>43</v>
      </c>
      <c r="D46" s="64">
        <f>D24+D45</f>
        <v>26180259.369300008</v>
      </c>
    </row>
    <row r="47" spans="1:4" x14ac:dyDescent="0.3">
      <c r="A47" t="s">
        <v>181</v>
      </c>
      <c r="B47" s="5">
        <v>7110</v>
      </c>
      <c r="C47" s="6" t="s">
        <v>44</v>
      </c>
      <c r="D47" s="2">
        <v>-3880858.2533333329</v>
      </c>
    </row>
    <row r="48" spans="1:4" x14ac:dyDescent="0.3">
      <c r="A48" t="s">
        <v>181</v>
      </c>
      <c r="B48" s="5">
        <v>7002</v>
      </c>
      <c r="C48" s="8" t="s">
        <v>45</v>
      </c>
      <c r="D48" s="2">
        <v>0</v>
      </c>
    </row>
    <row r="49" spans="1:4" x14ac:dyDescent="0.3">
      <c r="A49" t="s">
        <v>181</v>
      </c>
      <c r="B49" s="5">
        <v>7003</v>
      </c>
      <c r="C49" s="8" t="s">
        <v>46</v>
      </c>
      <c r="D49" s="2">
        <v>0</v>
      </c>
    </row>
    <row r="50" spans="1:4" x14ac:dyDescent="0.3">
      <c r="A50" t="s">
        <v>181</v>
      </c>
      <c r="B50" s="5">
        <v>7004</v>
      </c>
      <c r="C50" s="8" t="s">
        <v>24</v>
      </c>
      <c r="D50" s="2">
        <v>-690210.34000000008</v>
      </c>
    </row>
    <row r="51" spans="1:4" x14ac:dyDescent="0.3">
      <c r="A51" t="s">
        <v>181</v>
      </c>
      <c r="B51" s="5">
        <v>7400</v>
      </c>
      <c r="C51" s="6" t="s">
        <v>47</v>
      </c>
      <c r="D51" s="2">
        <v>0</v>
      </c>
    </row>
    <row r="52" spans="1:4" x14ac:dyDescent="0.3">
      <c r="A52" t="s">
        <v>181</v>
      </c>
      <c r="B52" s="5">
        <v>5010</v>
      </c>
      <c r="C52" s="6" t="s">
        <v>48</v>
      </c>
      <c r="D52" s="2">
        <v>-564792.17999999993</v>
      </c>
    </row>
    <row r="53" spans="1:4" x14ac:dyDescent="0.3">
      <c r="A53" t="s">
        <v>181</v>
      </c>
      <c r="B53" s="5">
        <v>6110</v>
      </c>
      <c r="C53" s="6" t="s">
        <v>49</v>
      </c>
      <c r="D53" s="2">
        <v>-1154857.19</v>
      </c>
    </row>
    <row r="54" spans="1:4" x14ac:dyDescent="0.3">
      <c r="A54" t="s">
        <v>181</v>
      </c>
      <c r="B54" s="5">
        <v>6300</v>
      </c>
      <c r="C54" s="6" t="s">
        <v>50</v>
      </c>
      <c r="D54" s="2">
        <v>-59190.54</v>
      </c>
    </row>
    <row r="55" spans="1:4" x14ac:dyDescent="0.3">
      <c r="A55" t="s">
        <v>181</v>
      </c>
      <c r="B55" s="5">
        <v>6500</v>
      </c>
      <c r="C55" s="6" t="s">
        <v>51</v>
      </c>
      <c r="D55" s="2">
        <v>-605913.30000000005</v>
      </c>
    </row>
    <row r="56" spans="1:4" x14ac:dyDescent="0.3">
      <c r="A56" t="s">
        <v>181</v>
      </c>
      <c r="B56" s="5">
        <v>6200</v>
      </c>
      <c r="C56" s="6" t="s">
        <v>52</v>
      </c>
      <c r="D56" s="2">
        <v>-304474.40000000002</v>
      </c>
    </row>
    <row r="57" spans="1:4" x14ac:dyDescent="0.3">
      <c r="A57" t="s">
        <v>181</v>
      </c>
      <c r="B57" s="5">
        <v>7615</v>
      </c>
      <c r="C57" s="6" t="s">
        <v>53</v>
      </c>
      <c r="D57" s="2">
        <v>-802838.95</v>
      </c>
    </row>
    <row r="58" spans="1:4" x14ac:dyDescent="0.3">
      <c r="A58" t="s">
        <v>181</v>
      </c>
      <c r="B58" s="5">
        <v>5900</v>
      </c>
      <c r="C58" s="6" t="s">
        <v>54</v>
      </c>
      <c r="D58" s="2">
        <v>-60134.479999999996</v>
      </c>
    </row>
    <row r="59" spans="1:4" x14ac:dyDescent="0.3">
      <c r="A59" t="s">
        <v>181</v>
      </c>
      <c r="B59" s="14">
        <v>6354</v>
      </c>
      <c r="C59" s="7" t="s">
        <v>55</v>
      </c>
      <c r="D59" s="2">
        <v>0</v>
      </c>
    </row>
    <row r="60" spans="1:4" x14ac:dyDescent="0.3">
      <c r="A60" t="s">
        <v>181</v>
      </c>
      <c r="B60" s="14">
        <v>6352</v>
      </c>
      <c r="C60" s="7" t="s">
        <v>56</v>
      </c>
      <c r="D60" s="2">
        <v>0</v>
      </c>
    </row>
    <row r="61" spans="1:4" x14ac:dyDescent="0.3">
      <c r="A61" t="s">
        <v>181</v>
      </c>
      <c r="B61" s="14">
        <v>7960</v>
      </c>
      <c r="C61" s="7" t="s">
        <v>57</v>
      </c>
      <c r="D61" s="2">
        <v>0</v>
      </c>
    </row>
    <row r="62" spans="1:4" x14ac:dyDescent="0.3">
      <c r="A62" t="s">
        <v>181</v>
      </c>
      <c r="B62" s="5">
        <v>6990</v>
      </c>
      <c r="C62" s="6" t="s">
        <v>58</v>
      </c>
      <c r="D62" s="2">
        <v>-1565147.402</v>
      </c>
    </row>
    <row r="63" spans="1:4" x14ac:dyDescent="0.3">
      <c r="A63" t="s">
        <v>181</v>
      </c>
      <c r="B63" s="5">
        <v>6998</v>
      </c>
      <c r="C63" s="7" t="s">
        <v>59</v>
      </c>
      <c r="D63" s="2">
        <v>0</v>
      </c>
    </row>
    <row r="64" spans="1:4" x14ac:dyDescent="0.3">
      <c r="A64" t="s">
        <v>181</v>
      </c>
      <c r="B64" s="5">
        <v>6999</v>
      </c>
      <c r="C64" s="7" t="s">
        <v>60</v>
      </c>
      <c r="D64" s="2">
        <v>0</v>
      </c>
    </row>
    <row r="65" spans="1:4" x14ac:dyDescent="0.3">
      <c r="A65" t="s">
        <v>181</v>
      </c>
      <c r="B65" s="5">
        <v>7973</v>
      </c>
      <c r="C65" s="7" t="s">
        <v>61</v>
      </c>
      <c r="D65" s="2">
        <v>0</v>
      </c>
    </row>
    <row r="66" spans="1:4" x14ac:dyDescent="0.3">
      <c r="A66" t="s">
        <v>181</v>
      </c>
      <c r="B66" s="14">
        <v>7840</v>
      </c>
      <c r="C66" s="7" t="s">
        <v>40</v>
      </c>
      <c r="D66" s="2">
        <v>0</v>
      </c>
    </row>
    <row r="67" spans="1:4" x14ac:dyDescent="0.3">
      <c r="A67" t="s">
        <v>181</v>
      </c>
      <c r="B67" s="14">
        <v>7830</v>
      </c>
      <c r="C67" s="7" t="s">
        <v>41</v>
      </c>
      <c r="D67" s="2">
        <v>0</v>
      </c>
    </row>
    <row r="68" spans="1:4" x14ac:dyDescent="0.3">
      <c r="A68" t="s">
        <v>181</v>
      </c>
      <c r="B68" s="11"/>
      <c r="C68" s="13" t="s">
        <v>62</v>
      </c>
      <c r="D68" s="2">
        <f>SUM(D47:D67)</f>
        <v>-9688417.0353333335</v>
      </c>
    </row>
    <row r="69" spans="1:4" x14ac:dyDescent="0.3">
      <c r="A69" t="s">
        <v>181</v>
      </c>
      <c r="B69" s="15"/>
      <c r="C69" s="16" t="s">
        <v>63</v>
      </c>
      <c r="D69" s="2">
        <v>0</v>
      </c>
    </row>
    <row r="70" spans="1:4" x14ac:dyDescent="0.3">
      <c r="A70" t="s">
        <v>181</v>
      </c>
      <c r="B70" s="17">
        <v>6430</v>
      </c>
      <c r="C70" s="18" t="s">
        <v>64</v>
      </c>
      <c r="D70" s="19">
        <v>-2476945.6635026447</v>
      </c>
    </row>
    <row r="71" spans="1:4" x14ac:dyDescent="0.3">
      <c r="A71" t="s">
        <v>181</v>
      </c>
      <c r="B71" s="5">
        <v>7981</v>
      </c>
      <c r="C71" s="8" t="s">
        <v>65</v>
      </c>
      <c r="D71" s="2">
        <v>0</v>
      </c>
    </row>
    <row r="72" spans="1:4" x14ac:dyDescent="0.3">
      <c r="A72" t="s">
        <v>181</v>
      </c>
      <c r="B72" s="5">
        <v>6435</v>
      </c>
      <c r="C72" s="8" t="s">
        <v>66</v>
      </c>
      <c r="D72" s="2">
        <v>0</v>
      </c>
    </row>
    <row r="73" spans="1:4" x14ac:dyDescent="0.3">
      <c r="A73" t="s">
        <v>181</v>
      </c>
      <c r="B73" s="20">
        <v>6436</v>
      </c>
      <c r="C73" s="21" t="s">
        <v>67</v>
      </c>
      <c r="D73" s="19">
        <v>-1080973.7420000001</v>
      </c>
    </row>
    <row r="74" spans="1:4" x14ac:dyDescent="0.3">
      <c r="A74" t="s">
        <v>181</v>
      </c>
      <c r="B74" s="5">
        <v>6437</v>
      </c>
      <c r="C74" s="8" t="s">
        <v>68</v>
      </c>
      <c r="D74" s="22">
        <v>11.360000000102445</v>
      </c>
    </row>
    <row r="75" spans="1:4" x14ac:dyDescent="0.3">
      <c r="A75" t="s">
        <v>181</v>
      </c>
      <c r="B75" s="14">
        <v>7994</v>
      </c>
      <c r="C75" s="6" t="s">
        <v>69</v>
      </c>
      <c r="D75" s="2">
        <v>0</v>
      </c>
    </row>
    <row r="76" spans="1:4" x14ac:dyDescent="0.3">
      <c r="A76" t="s">
        <v>181</v>
      </c>
      <c r="B76" s="11"/>
      <c r="C76" s="13" t="s">
        <v>70</v>
      </c>
      <c r="D76" s="2">
        <f>SUM(D69:D75)</f>
        <v>-3557908.045502645</v>
      </c>
    </row>
    <row r="77" spans="1:4" x14ac:dyDescent="0.3">
      <c r="A77" t="s">
        <v>181</v>
      </c>
      <c r="B77" s="5">
        <v>7199</v>
      </c>
      <c r="C77" s="8" t="s">
        <v>71</v>
      </c>
      <c r="D77" s="2">
        <v>-229166.66666666666</v>
      </c>
    </row>
    <row r="78" spans="1:4" x14ac:dyDescent="0.3">
      <c r="A78" t="s">
        <v>181</v>
      </c>
      <c r="B78" s="11"/>
      <c r="C78" s="13" t="s">
        <v>72</v>
      </c>
      <c r="D78" s="2">
        <f>D46+D68+D76+D77</f>
        <v>12704767.621797362</v>
      </c>
    </row>
    <row r="79" spans="1:4" x14ac:dyDescent="0.3">
      <c r="A79" t="s">
        <v>181</v>
      </c>
      <c r="B79" s="23">
        <v>8010</v>
      </c>
      <c r="C79" s="24" t="s">
        <v>73</v>
      </c>
      <c r="D79" s="25">
        <v>0</v>
      </c>
    </row>
    <row r="80" spans="1:4" x14ac:dyDescent="0.3">
      <c r="A80" t="s">
        <v>181</v>
      </c>
      <c r="B80" s="23">
        <v>8022</v>
      </c>
      <c r="C80" s="24" t="s">
        <v>74</v>
      </c>
      <c r="D80" s="25">
        <v>0</v>
      </c>
    </row>
    <row r="81" spans="1:4" x14ac:dyDescent="0.3">
      <c r="A81" t="s">
        <v>181</v>
      </c>
      <c r="B81" s="23">
        <v>8300</v>
      </c>
      <c r="C81" s="24" t="s">
        <v>75</v>
      </c>
      <c r="D81" s="2">
        <v>433484.44000000006</v>
      </c>
    </row>
    <row r="82" spans="1:4" x14ac:dyDescent="0.3">
      <c r="A82" t="s">
        <v>181</v>
      </c>
      <c r="B82" s="23">
        <v>8360</v>
      </c>
      <c r="C82" s="24" t="s">
        <v>76</v>
      </c>
      <c r="D82" s="2">
        <v>0</v>
      </c>
    </row>
    <row r="83" spans="1:4" x14ac:dyDescent="0.3">
      <c r="A83" t="s">
        <v>181</v>
      </c>
      <c r="B83" s="23">
        <v>8331</v>
      </c>
      <c r="C83" s="24" t="s">
        <v>77</v>
      </c>
      <c r="D83" s="2">
        <v>37262.32</v>
      </c>
    </row>
    <row r="84" spans="1:4" x14ac:dyDescent="0.3">
      <c r="A84" t="s">
        <v>181</v>
      </c>
      <c r="B84" s="23">
        <v>8390</v>
      </c>
      <c r="C84" s="24" t="s">
        <v>78</v>
      </c>
      <c r="D84" s="2">
        <v>0</v>
      </c>
    </row>
    <row r="85" spans="1:4" x14ac:dyDescent="0.3">
      <c r="A85" t="s">
        <v>181</v>
      </c>
      <c r="B85" s="26"/>
      <c r="C85" s="27" t="s">
        <v>79</v>
      </c>
      <c r="D85" s="2">
        <f>SUM(D79:D84)</f>
        <v>470746.76000000007</v>
      </c>
    </row>
    <row r="86" spans="1:4" x14ac:dyDescent="0.3">
      <c r="A86" t="s">
        <v>181</v>
      </c>
      <c r="B86" s="23">
        <v>8072</v>
      </c>
      <c r="C86" s="24" t="s">
        <v>80</v>
      </c>
      <c r="D86" s="2">
        <v>0</v>
      </c>
    </row>
    <row r="87" spans="1:4" x14ac:dyDescent="0.3">
      <c r="A87" t="s">
        <v>181</v>
      </c>
      <c r="B87" s="23">
        <v>8400</v>
      </c>
      <c r="C87" s="24" t="s">
        <v>81</v>
      </c>
      <c r="D87" s="25">
        <v>-703937.69</v>
      </c>
    </row>
    <row r="88" spans="1:4" x14ac:dyDescent="0.3">
      <c r="A88" t="s">
        <v>181</v>
      </c>
      <c r="B88" s="28">
        <v>8412</v>
      </c>
      <c r="C88" s="8" t="s">
        <v>82</v>
      </c>
      <c r="D88" s="2">
        <v>0</v>
      </c>
    </row>
    <row r="89" spans="1:4" x14ac:dyDescent="0.3">
      <c r="A89" t="s">
        <v>181</v>
      </c>
      <c r="B89" s="23">
        <v>8460</v>
      </c>
      <c r="C89" s="24" t="s">
        <v>83</v>
      </c>
      <c r="D89" s="25">
        <v>0</v>
      </c>
    </row>
    <row r="90" spans="1:4" x14ac:dyDescent="0.3">
      <c r="A90" t="s">
        <v>181</v>
      </c>
      <c r="B90" s="23">
        <v>8436</v>
      </c>
      <c r="C90" s="24" t="s">
        <v>84</v>
      </c>
      <c r="D90" s="25">
        <v>-13903.22</v>
      </c>
    </row>
    <row r="91" spans="1:4" x14ac:dyDescent="0.3">
      <c r="A91" t="s">
        <v>181</v>
      </c>
      <c r="B91" s="23">
        <v>8490</v>
      </c>
      <c r="C91" s="24" t="s">
        <v>85</v>
      </c>
      <c r="D91" s="25">
        <v>0</v>
      </c>
    </row>
    <row r="92" spans="1:4" x14ac:dyDescent="0.3">
      <c r="A92" t="s">
        <v>181</v>
      </c>
      <c r="B92" s="26"/>
      <c r="C92" s="27" t="s">
        <v>86</v>
      </c>
      <c r="D92" s="2">
        <f>SUM(D86:D91)</f>
        <v>-717840.90999999992</v>
      </c>
    </row>
    <row r="93" spans="1:4" x14ac:dyDescent="0.3">
      <c r="A93" t="s">
        <v>181</v>
      </c>
      <c r="B93" s="29"/>
      <c r="C93" s="30" t="s">
        <v>87</v>
      </c>
      <c r="D93" s="2">
        <f>D85+D92</f>
        <v>-247094.14999999985</v>
      </c>
    </row>
    <row r="94" spans="1:4" x14ac:dyDescent="0.3">
      <c r="A94" t="s">
        <v>181</v>
      </c>
      <c r="B94" s="31"/>
      <c r="C94" s="32" t="s">
        <v>88</v>
      </c>
      <c r="D94" s="2">
        <f>+D78+D93</f>
        <v>12457673.471797362</v>
      </c>
    </row>
    <row r="95" spans="1:4" x14ac:dyDescent="0.3">
      <c r="A95" t="s">
        <v>181</v>
      </c>
      <c r="B95" s="23">
        <v>8893</v>
      </c>
      <c r="C95" s="24" t="s">
        <v>89</v>
      </c>
      <c r="D95" s="2">
        <v>0</v>
      </c>
    </row>
    <row r="96" spans="1:4" x14ac:dyDescent="0.3">
      <c r="A96" t="s">
        <v>181</v>
      </c>
      <c r="B96" s="33">
        <v>8820</v>
      </c>
      <c r="C96" s="34" t="s">
        <v>90</v>
      </c>
      <c r="D96" s="19">
        <v>2476945.6635026447</v>
      </c>
    </row>
    <row r="97" spans="1:4" x14ac:dyDescent="0.3">
      <c r="A97" t="s">
        <v>181</v>
      </c>
      <c r="B97" s="33">
        <v>8821</v>
      </c>
      <c r="C97" s="34" t="s">
        <v>91</v>
      </c>
      <c r="D97" s="19">
        <v>1080973.7420000001</v>
      </c>
    </row>
    <row r="98" spans="1:4" x14ac:dyDescent="0.3">
      <c r="A98" t="s">
        <v>181</v>
      </c>
      <c r="B98" s="23">
        <v>8828</v>
      </c>
      <c r="C98" s="24" t="s">
        <v>92</v>
      </c>
      <c r="D98" s="2">
        <v>0</v>
      </c>
    </row>
    <row r="99" spans="1:4" x14ac:dyDescent="0.3">
      <c r="A99" t="s">
        <v>181</v>
      </c>
      <c r="B99" s="23">
        <v>8829</v>
      </c>
      <c r="C99" s="24" t="s">
        <v>93</v>
      </c>
      <c r="D99" s="2">
        <v>0</v>
      </c>
    </row>
    <row r="100" spans="1:4" x14ac:dyDescent="0.3">
      <c r="A100" t="s">
        <v>181</v>
      </c>
      <c r="B100" s="23">
        <v>8890</v>
      </c>
      <c r="C100" s="24" t="s">
        <v>94</v>
      </c>
      <c r="D100" s="2">
        <v>0</v>
      </c>
    </row>
    <row r="101" spans="1:4" x14ac:dyDescent="0.3">
      <c r="A101" t="s">
        <v>181</v>
      </c>
      <c r="B101" s="26"/>
      <c r="C101" s="27" t="s">
        <v>95</v>
      </c>
      <c r="D101" s="2">
        <f>SUM(D95:D100)</f>
        <v>3557919.4055026448</v>
      </c>
    </row>
    <row r="102" spans="1:4" x14ac:dyDescent="0.3">
      <c r="A102" t="s">
        <v>181</v>
      </c>
      <c r="B102" s="26"/>
      <c r="C102" s="27" t="s">
        <v>96</v>
      </c>
      <c r="D102" s="2">
        <v>0</v>
      </c>
    </row>
    <row r="103" spans="1:4" x14ac:dyDescent="0.3">
      <c r="A103" t="s">
        <v>181</v>
      </c>
      <c r="B103" s="23">
        <v>8910</v>
      </c>
      <c r="C103" s="24" t="s">
        <v>97</v>
      </c>
      <c r="D103" s="25">
        <v>-6890678.2300000004</v>
      </c>
    </row>
    <row r="104" spans="1:4" x14ac:dyDescent="0.3">
      <c r="A104" t="s">
        <v>181</v>
      </c>
      <c r="B104" s="23">
        <v>8935</v>
      </c>
      <c r="C104" s="24" t="s">
        <v>98</v>
      </c>
      <c r="D104" s="2">
        <v>0</v>
      </c>
    </row>
    <row r="105" spans="1:4" x14ac:dyDescent="0.3">
      <c r="A105" t="s">
        <v>181</v>
      </c>
      <c r="B105" s="23">
        <v>8940</v>
      </c>
      <c r="C105" s="24" t="s">
        <v>99</v>
      </c>
      <c r="D105" s="25">
        <v>481255.78</v>
      </c>
    </row>
    <row r="106" spans="1:4" x14ac:dyDescent="0.3">
      <c r="A106" t="s">
        <v>181</v>
      </c>
      <c r="B106" s="23">
        <v>8980</v>
      </c>
      <c r="C106" s="24" t="s">
        <v>100</v>
      </c>
      <c r="D106" s="2">
        <v>0</v>
      </c>
    </row>
    <row r="107" spans="1:4" x14ac:dyDescent="0.3">
      <c r="A107" t="s">
        <v>181</v>
      </c>
      <c r="B107" s="26"/>
      <c r="C107" s="35" t="s">
        <v>101</v>
      </c>
      <c r="D107" s="2">
        <f>SUM(D103:D106)</f>
        <v>-6409422.4500000002</v>
      </c>
    </row>
    <row r="108" spans="1:4" x14ac:dyDescent="0.3">
      <c r="A108" t="s">
        <v>181</v>
      </c>
      <c r="B108" s="36"/>
      <c r="C108" s="37" t="s">
        <v>102</v>
      </c>
      <c r="D108" s="2">
        <f>D94+D101+D107</f>
        <v>9606170.4273000062</v>
      </c>
    </row>
    <row r="109" spans="1:4" x14ac:dyDescent="0.3">
      <c r="B109" s="38"/>
      <c r="C109" s="39"/>
      <c r="D109" s="2"/>
    </row>
    <row r="110" spans="1:4" x14ac:dyDescent="0.3">
      <c r="A110" t="s">
        <v>182</v>
      </c>
      <c r="B110" s="40" t="s">
        <v>103</v>
      </c>
      <c r="C110" s="41"/>
      <c r="D110" s="2"/>
    </row>
    <row r="111" spans="1:4" x14ac:dyDescent="0.3">
      <c r="A111" t="s">
        <v>182</v>
      </c>
      <c r="B111" s="40"/>
      <c r="C111" s="42" t="s">
        <v>104</v>
      </c>
      <c r="D111" s="2">
        <f>D115+D122</f>
        <v>3717055.9400000004</v>
      </c>
    </row>
    <row r="112" spans="1:4" x14ac:dyDescent="0.3">
      <c r="A112" t="s">
        <v>182</v>
      </c>
      <c r="B112" s="43"/>
      <c r="C112" s="42" t="s">
        <v>105</v>
      </c>
      <c r="D112" s="2">
        <v>0</v>
      </c>
    </row>
    <row r="113" spans="1:4" x14ac:dyDescent="0.3">
      <c r="A113" t="s">
        <v>182</v>
      </c>
      <c r="B113" s="44">
        <v>1070</v>
      </c>
      <c r="C113" s="45" t="s">
        <v>106</v>
      </c>
      <c r="D113" s="2">
        <v>0</v>
      </c>
    </row>
    <row r="114" spans="1:4" x14ac:dyDescent="0.3">
      <c r="A114" t="s">
        <v>182</v>
      </c>
      <c r="B114" s="46">
        <v>1040</v>
      </c>
      <c r="C114" s="47" t="s">
        <v>107</v>
      </c>
      <c r="D114" s="2">
        <v>215797.15999999968</v>
      </c>
    </row>
    <row r="115" spans="1:4" x14ac:dyDescent="0.3">
      <c r="A115" t="s">
        <v>182</v>
      </c>
      <c r="B115" s="40"/>
      <c r="C115" s="42" t="s">
        <v>108</v>
      </c>
      <c r="D115" s="64">
        <f>SUM(D113:D114)</f>
        <v>215797.15999999968</v>
      </c>
    </row>
    <row r="116" spans="1:4" x14ac:dyDescent="0.3">
      <c r="A116" t="s">
        <v>182</v>
      </c>
      <c r="B116" s="40"/>
      <c r="C116" s="42"/>
      <c r="D116" s="2">
        <v>0</v>
      </c>
    </row>
    <row r="117" spans="1:4" x14ac:dyDescent="0.3">
      <c r="A117" t="s">
        <v>182</v>
      </c>
      <c r="B117" s="43"/>
      <c r="C117" s="42" t="s">
        <v>109</v>
      </c>
      <c r="D117" s="2">
        <v>0</v>
      </c>
    </row>
    <row r="118" spans="1:4" x14ac:dyDescent="0.3">
      <c r="A118" t="s">
        <v>182</v>
      </c>
      <c r="B118" s="48">
        <v>1110</v>
      </c>
      <c r="C118" s="49" t="s">
        <v>110</v>
      </c>
      <c r="D118" s="2">
        <v>0</v>
      </c>
    </row>
    <row r="119" spans="1:4" x14ac:dyDescent="0.3">
      <c r="A119" t="s">
        <v>182</v>
      </c>
      <c r="B119" s="46">
        <v>1230</v>
      </c>
      <c r="C119" s="47" t="s">
        <v>111</v>
      </c>
      <c r="D119" s="2">
        <v>1024388.4300000002</v>
      </c>
    </row>
    <row r="120" spans="1:4" x14ac:dyDescent="0.3">
      <c r="A120" t="s">
        <v>182</v>
      </c>
      <c r="B120" s="46">
        <v>1210</v>
      </c>
      <c r="C120" s="50" t="s">
        <v>112</v>
      </c>
      <c r="D120" s="2">
        <v>0</v>
      </c>
    </row>
    <row r="121" spans="1:4" x14ac:dyDescent="0.3">
      <c r="A121" t="s">
        <v>182</v>
      </c>
      <c r="B121" s="46">
        <v>1220</v>
      </c>
      <c r="C121" s="50" t="s">
        <v>113</v>
      </c>
      <c r="D121" s="2">
        <v>2476870.3500000006</v>
      </c>
    </row>
    <row r="122" spans="1:4" x14ac:dyDescent="0.3">
      <c r="A122" t="s">
        <v>182</v>
      </c>
      <c r="B122" s="40"/>
      <c r="C122" s="42" t="s">
        <v>114</v>
      </c>
      <c r="D122" s="64">
        <f>SUM(D118:D121)</f>
        <v>3501258.7800000007</v>
      </c>
    </row>
    <row r="123" spans="1:4" x14ac:dyDescent="0.3">
      <c r="A123" t="s">
        <v>182</v>
      </c>
      <c r="B123" s="40"/>
      <c r="C123" s="42"/>
      <c r="D123" s="2">
        <v>0</v>
      </c>
    </row>
    <row r="124" spans="1:4" x14ac:dyDescent="0.3">
      <c r="A124" t="s">
        <v>182</v>
      </c>
      <c r="B124" s="43"/>
      <c r="C124" s="42" t="s">
        <v>115</v>
      </c>
      <c r="D124" s="2">
        <v>0</v>
      </c>
    </row>
    <row r="125" spans="1:4" x14ac:dyDescent="0.3">
      <c r="A125" t="s">
        <v>182</v>
      </c>
      <c r="B125" s="46">
        <v>1312</v>
      </c>
      <c r="C125" s="50" t="s">
        <v>116</v>
      </c>
      <c r="D125" s="2">
        <v>0</v>
      </c>
    </row>
    <row r="126" spans="1:4" x14ac:dyDescent="0.3">
      <c r="A126" t="s">
        <v>182</v>
      </c>
      <c r="B126" s="46">
        <v>1315</v>
      </c>
      <c r="C126" s="50" t="s">
        <v>117</v>
      </c>
      <c r="D126" s="2">
        <v>0</v>
      </c>
    </row>
    <row r="127" spans="1:4" x14ac:dyDescent="0.3">
      <c r="A127" t="s">
        <v>182</v>
      </c>
      <c r="B127" s="46">
        <v>1370</v>
      </c>
      <c r="C127" s="50" t="s">
        <v>118</v>
      </c>
      <c r="D127" s="2">
        <v>0</v>
      </c>
    </row>
    <row r="128" spans="1:4" x14ac:dyDescent="0.3">
      <c r="A128" t="s">
        <v>182</v>
      </c>
      <c r="B128" s="46">
        <v>1360</v>
      </c>
      <c r="C128" s="50" t="s">
        <v>119</v>
      </c>
      <c r="D128" s="2">
        <v>0</v>
      </c>
    </row>
    <row r="129" spans="1:4" x14ac:dyDescent="0.3">
      <c r="A129" t="s">
        <v>182</v>
      </c>
      <c r="B129" s="46">
        <v>1388</v>
      </c>
      <c r="C129" s="47" t="s">
        <v>120</v>
      </c>
      <c r="D129" s="2">
        <v>0</v>
      </c>
    </row>
    <row r="130" spans="1:4" x14ac:dyDescent="0.3">
      <c r="A130" t="s">
        <v>182</v>
      </c>
      <c r="B130" s="40"/>
      <c r="C130" s="42" t="s">
        <v>121</v>
      </c>
      <c r="D130" s="2">
        <f>SUM(D125:D129)</f>
        <v>0</v>
      </c>
    </row>
    <row r="131" spans="1:4" x14ac:dyDescent="0.3">
      <c r="A131" t="s">
        <v>182</v>
      </c>
      <c r="B131" s="40"/>
      <c r="C131" s="42" t="s">
        <v>122</v>
      </c>
      <c r="D131" s="2">
        <v>0</v>
      </c>
    </row>
    <row r="132" spans="1:4" x14ac:dyDescent="0.3">
      <c r="A132" t="s">
        <v>182</v>
      </c>
      <c r="B132" s="40"/>
      <c r="C132" s="42" t="s">
        <v>123</v>
      </c>
      <c r="D132" s="2">
        <v>0</v>
      </c>
    </row>
    <row r="133" spans="1:4" x14ac:dyDescent="0.3">
      <c r="A133" t="s">
        <v>182</v>
      </c>
      <c r="B133" s="46">
        <v>1510</v>
      </c>
      <c r="C133" s="47" t="s">
        <v>124</v>
      </c>
      <c r="D133" s="2">
        <v>13320263.26</v>
      </c>
    </row>
    <row r="134" spans="1:4" x14ac:dyDescent="0.3">
      <c r="A134" t="s">
        <v>182</v>
      </c>
      <c r="B134" s="46">
        <v>1560</v>
      </c>
      <c r="C134" s="50" t="s">
        <v>125</v>
      </c>
      <c r="D134" s="2">
        <v>0</v>
      </c>
    </row>
    <row r="135" spans="1:4" x14ac:dyDescent="0.3">
      <c r="A135" t="s">
        <v>182</v>
      </c>
      <c r="B135" s="46">
        <v>1565</v>
      </c>
      <c r="C135" s="50" t="s">
        <v>126</v>
      </c>
      <c r="D135" s="2">
        <v>144018</v>
      </c>
    </row>
    <row r="136" spans="1:4" x14ac:dyDescent="0.3">
      <c r="A136" t="s">
        <v>182</v>
      </c>
      <c r="B136" s="46">
        <v>1400</v>
      </c>
      <c r="C136" s="47" t="s">
        <v>127</v>
      </c>
      <c r="D136" s="2">
        <v>0</v>
      </c>
    </row>
    <row r="137" spans="1:4" x14ac:dyDescent="0.3">
      <c r="A137" t="s">
        <v>182</v>
      </c>
      <c r="B137" s="46">
        <v>1470</v>
      </c>
      <c r="C137" s="47" t="s">
        <v>128</v>
      </c>
      <c r="D137" s="2">
        <v>19064606.98</v>
      </c>
    </row>
    <row r="138" spans="1:4" x14ac:dyDescent="0.3">
      <c r="A138" t="s">
        <v>182</v>
      </c>
      <c r="B138" s="46">
        <v>1640</v>
      </c>
      <c r="C138" s="47" t="s">
        <v>129</v>
      </c>
      <c r="D138" s="2">
        <v>795304.52</v>
      </c>
    </row>
    <row r="139" spans="1:4" x14ac:dyDescent="0.3">
      <c r="A139" t="s">
        <v>182</v>
      </c>
      <c r="B139" s="46">
        <v>1600</v>
      </c>
      <c r="C139" s="47" t="s">
        <v>130</v>
      </c>
      <c r="D139" s="2">
        <v>3876162.23</v>
      </c>
    </row>
    <row r="140" spans="1:4" x14ac:dyDescent="0.3">
      <c r="A140" t="s">
        <v>182</v>
      </c>
      <c r="B140" s="46">
        <v>1689</v>
      </c>
      <c r="C140" s="50" t="s">
        <v>131</v>
      </c>
      <c r="D140" s="2">
        <v>435827.01</v>
      </c>
    </row>
    <row r="141" spans="1:4" x14ac:dyDescent="0.3">
      <c r="A141" t="s">
        <v>182</v>
      </c>
      <c r="B141" s="46">
        <v>1660</v>
      </c>
      <c r="C141" s="47" t="s">
        <v>132</v>
      </c>
      <c r="D141" s="2">
        <v>0</v>
      </c>
    </row>
    <row r="142" spans="1:4" x14ac:dyDescent="0.3">
      <c r="A142" t="s">
        <v>182</v>
      </c>
      <c r="B142" s="46">
        <v>1790</v>
      </c>
      <c r="C142" s="47" t="s">
        <v>133</v>
      </c>
      <c r="D142" s="2">
        <v>1562765.8399999999</v>
      </c>
    </row>
    <row r="143" spans="1:4" x14ac:dyDescent="0.3">
      <c r="A143" t="s">
        <v>182</v>
      </c>
      <c r="B143" s="51"/>
      <c r="C143" s="52" t="s">
        <v>134</v>
      </c>
      <c r="D143" s="2">
        <f>SUM(D133:D142)</f>
        <v>39198947.840000004</v>
      </c>
    </row>
    <row r="144" spans="1:4" x14ac:dyDescent="0.3">
      <c r="A144" t="s">
        <v>182</v>
      </c>
      <c r="B144" s="46">
        <v>1960</v>
      </c>
      <c r="C144" s="50" t="s">
        <v>135</v>
      </c>
      <c r="D144" s="2">
        <v>0</v>
      </c>
    </row>
    <row r="145" spans="1:4" x14ac:dyDescent="0.3">
      <c r="A145" t="s">
        <v>182</v>
      </c>
      <c r="B145" s="46">
        <v>1800</v>
      </c>
      <c r="C145" s="47" t="s">
        <v>136</v>
      </c>
      <c r="D145" s="2">
        <v>0</v>
      </c>
    </row>
    <row r="146" spans="1:4" x14ac:dyDescent="0.3">
      <c r="A146" t="s">
        <v>182</v>
      </c>
      <c r="B146" s="46">
        <v>1930</v>
      </c>
      <c r="C146" s="50" t="s">
        <v>137</v>
      </c>
      <c r="D146" s="2">
        <v>19705436.43</v>
      </c>
    </row>
    <row r="147" spans="1:4" x14ac:dyDescent="0.3">
      <c r="A147" t="s">
        <v>182</v>
      </c>
      <c r="B147" s="53"/>
      <c r="C147" s="52" t="s">
        <v>138</v>
      </c>
      <c r="D147" s="2">
        <f>SUM(D144:D146)</f>
        <v>19705436.43</v>
      </c>
    </row>
    <row r="148" spans="1:4" x14ac:dyDescent="0.3">
      <c r="A148" t="s">
        <v>182</v>
      </c>
      <c r="B148" s="54"/>
      <c r="C148" s="55" t="s">
        <v>139</v>
      </c>
      <c r="D148" s="2">
        <f>D147+D143</f>
        <v>58904384.270000003</v>
      </c>
    </row>
    <row r="149" spans="1:4" x14ac:dyDescent="0.3">
      <c r="A149" t="s">
        <v>182</v>
      </c>
      <c r="B149" s="40"/>
      <c r="C149" s="42" t="s">
        <v>140</v>
      </c>
      <c r="D149" s="2">
        <f>D148+D111+D130</f>
        <v>62621440.210000001</v>
      </c>
    </row>
    <row r="150" spans="1:4" x14ac:dyDescent="0.3">
      <c r="A150" t="s">
        <v>182</v>
      </c>
      <c r="B150" s="56"/>
      <c r="C150" s="57" t="s">
        <v>141</v>
      </c>
      <c r="D150" s="2">
        <v>0</v>
      </c>
    </row>
    <row r="151" spans="1:4" x14ac:dyDescent="0.3">
      <c r="A151" t="s">
        <v>182</v>
      </c>
      <c r="B151" s="58" t="s">
        <v>142</v>
      </c>
      <c r="C151" s="59"/>
      <c r="D151" s="2">
        <v>0</v>
      </c>
    </row>
    <row r="152" spans="1:4" x14ac:dyDescent="0.3">
      <c r="A152" t="s">
        <v>182</v>
      </c>
      <c r="B152" s="40"/>
      <c r="C152" s="42" t="s">
        <v>143</v>
      </c>
      <c r="D152" s="2">
        <v>0</v>
      </c>
    </row>
    <row r="153" spans="1:4" x14ac:dyDescent="0.3">
      <c r="A153" t="s">
        <v>182</v>
      </c>
      <c r="B153" s="60"/>
      <c r="C153" s="61" t="s">
        <v>144</v>
      </c>
      <c r="D153" s="2">
        <v>0</v>
      </c>
    </row>
    <row r="154" spans="1:4" x14ac:dyDescent="0.3">
      <c r="A154" t="s">
        <v>182</v>
      </c>
      <c r="B154" s="46">
        <v>2081</v>
      </c>
      <c r="C154" s="50" t="s">
        <v>145</v>
      </c>
      <c r="D154" s="2">
        <v>6944043</v>
      </c>
    </row>
    <row r="155" spans="1:4" x14ac:dyDescent="0.3">
      <c r="A155" t="s">
        <v>182</v>
      </c>
      <c r="B155" s="46">
        <v>2086</v>
      </c>
      <c r="C155" s="50" t="s">
        <v>146</v>
      </c>
      <c r="D155" s="2">
        <v>0</v>
      </c>
    </row>
    <row r="156" spans="1:4" x14ac:dyDescent="0.3">
      <c r="A156" t="s">
        <v>182</v>
      </c>
      <c r="B156" s="43"/>
      <c r="C156" s="61" t="s">
        <v>147</v>
      </c>
      <c r="D156" s="2">
        <v>0</v>
      </c>
    </row>
    <row r="157" spans="1:4" x14ac:dyDescent="0.3">
      <c r="A157" t="s">
        <v>182</v>
      </c>
      <c r="B157" s="46">
        <v>2090</v>
      </c>
      <c r="C157" s="50" t="s">
        <v>148</v>
      </c>
      <c r="D157" s="2">
        <v>18551926.959999997</v>
      </c>
    </row>
    <row r="158" spans="1:4" x14ac:dyDescent="0.3">
      <c r="A158" t="s">
        <v>182</v>
      </c>
      <c r="B158" s="46">
        <v>2099</v>
      </c>
      <c r="C158" s="47" t="s">
        <v>102</v>
      </c>
      <c r="D158" s="2">
        <v>0</v>
      </c>
    </row>
    <row r="159" spans="1:4" x14ac:dyDescent="0.3">
      <c r="A159" t="s">
        <v>182</v>
      </c>
      <c r="B159" s="44"/>
      <c r="C159" s="45" t="s">
        <v>141</v>
      </c>
      <c r="D159" s="2">
        <v>0</v>
      </c>
    </row>
    <row r="160" spans="1:4" x14ac:dyDescent="0.3">
      <c r="A160" t="s">
        <v>182</v>
      </c>
      <c r="B160" s="46">
        <v>2200</v>
      </c>
      <c r="C160" s="50" t="s">
        <v>149</v>
      </c>
      <c r="D160" s="2">
        <v>0</v>
      </c>
    </row>
    <row r="161" spans="1:4" x14ac:dyDescent="0.3">
      <c r="A161" t="s">
        <v>182</v>
      </c>
      <c r="B161" s="40"/>
      <c r="C161" s="42" t="s">
        <v>150</v>
      </c>
      <c r="D161" s="2">
        <f>SUM(D153:D160)</f>
        <v>25495969.959999997</v>
      </c>
    </row>
    <row r="162" spans="1:4" x14ac:dyDescent="0.3">
      <c r="A162" t="s">
        <v>182</v>
      </c>
      <c r="B162" s="46">
        <v>2190</v>
      </c>
      <c r="C162" s="50" t="s">
        <v>151</v>
      </c>
      <c r="D162" s="2">
        <v>0</v>
      </c>
    </row>
    <row r="163" spans="1:4" x14ac:dyDescent="0.3">
      <c r="A163" t="s">
        <v>182</v>
      </c>
      <c r="B163" s="40"/>
      <c r="C163" s="41" t="s">
        <v>152</v>
      </c>
      <c r="D163" s="2">
        <v>0</v>
      </c>
    </row>
    <row r="164" spans="1:4" x14ac:dyDescent="0.3">
      <c r="A164" t="s">
        <v>182</v>
      </c>
      <c r="B164" s="46">
        <v>2520</v>
      </c>
      <c r="C164" s="50" t="s">
        <v>153</v>
      </c>
      <c r="D164" s="2">
        <v>4606786.62</v>
      </c>
    </row>
    <row r="165" spans="1:4" x14ac:dyDescent="0.3">
      <c r="A165" t="s">
        <v>182</v>
      </c>
      <c r="B165" s="46">
        <v>2270</v>
      </c>
      <c r="C165" s="50" t="s">
        <v>154</v>
      </c>
      <c r="D165" s="2">
        <v>0</v>
      </c>
    </row>
    <row r="166" spans="1:4" x14ac:dyDescent="0.3">
      <c r="A166" t="s">
        <v>182</v>
      </c>
      <c r="B166" s="46">
        <v>2280</v>
      </c>
      <c r="C166" s="50" t="s">
        <v>155</v>
      </c>
      <c r="D166" s="2">
        <v>0</v>
      </c>
    </row>
    <row r="167" spans="1:4" x14ac:dyDescent="0.3">
      <c r="A167" t="s">
        <v>182</v>
      </c>
      <c r="B167" s="46">
        <v>2352</v>
      </c>
      <c r="C167" s="50" t="s">
        <v>156</v>
      </c>
      <c r="D167" s="2">
        <v>0</v>
      </c>
    </row>
    <row r="168" spans="1:4" x14ac:dyDescent="0.3">
      <c r="A168" t="s">
        <v>182</v>
      </c>
      <c r="B168" s="46">
        <v>2390</v>
      </c>
      <c r="C168" s="50" t="s">
        <v>157</v>
      </c>
      <c r="D168" s="2">
        <v>0</v>
      </c>
    </row>
    <row r="169" spans="1:4" x14ac:dyDescent="0.3">
      <c r="A169" t="s">
        <v>182</v>
      </c>
      <c r="B169" s="46">
        <v>2360</v>
      </c>
      <c r="C169" s="50" t="s">
        <v>158</v>
      </c>
      <c r="D169" s="2">
        <v>0</v>
      </c>
    </row>
    <row r="170" spans="1:4" x14ac:dyDescent="0.3">
      <c r="A170" t="s">
        <v>182</v>
      </c>
      <c r="B170" s="40"/>
      <c r="C170" s="42" t="s">
        <v>159</v>
      </c>
      <c r="D170" s="2">
        <f>SUM(D164:D169)</f>
        <v>4606786.62</v>
      </c>
    </row>
    <row r="171" spans="1:4" x14ac:dyDescent="0.3">
      <c r="A171" t="s">
        <v>182</v>
      </c>
      <c r="B171" s="40"/>
      <c r="C171" s="42" t="s">
        <v>160</v>
      </c>
      <c r="D171" s="2">
        <v>0</v>
      </c>
    </row>
    <row r="172" spans="1:4" x14ac:dyDescent="0.3">
      <c r="A172" t="s">
        <v>182</v>
      </c>
      <c r="B172" s="46">
        <v>2843</v>
      </c>
      <c r="C172" s="50" t="s">
        <v>161</v>
      </c>
      <c r="D172" s="2">
        <v>0</v>
      </c>
    </row>
    <row r="173" spans="1:4" x14ac:dyDescent="0.3">
      <c r="A173" t="s">
        <v>182</v>
      </c>
      <c r="B173" s="46">
        <v>2842</v>
      </c>
      <c r="C173" s="50" t="s">
        <v>162</v>
      </c>
      <c r="D173" s="2">
        <v>0</v>
      </c>
    </row>
    <row r="174" spans="1:4" x14ac:dyDescent="0.3">
      <c r="A174" t="s">
        <v>182</v>
      </c>
      <c r="B174" s="46">
        <v>2841</v>
      </c>
      <c r="C174" s="50" t="s">
        <v>163</v>
      </c>
      <c r="D174" s="2">
        <v>0</v>
      </c>
    </row>
    <row r="175" spans="1:4" x14ac:dyDescent="0.3">
      <c r="A175" t="s">
        <v>182</v>
      </c>
      <c r="B175" s="46">
        <v>2440</v>
      </c>
      <c r="C175" s="50" t="s">
        <v>164</v>
      </c>
      <c r="D175" s="2">
        <v>1647250.48</v>
      </c>
    </row>
    <row r="176" spans="1:4" x14ac:dyDescent="0.3">
      <c r="A176" t="s">
        <v>182</v>
      </c>
      <c r="B176" s="46">
        <v>2460</v>
      </c>
      <c r="C176" s="50" t="s">
        <v>165</v>
      </c>
      <c r="D176" s="2">
        <v>0</v>
      </c>
    </row>
    <row r="177" spans="1:4" x14ac:dyDescent="0.3">
      <c r="A177" t="s">
        <v>182</v>
      </c>
      <c r="B177" s="48">
        <v>2510</v>
      </c>
      <c r="C177" s="49" t="s">
        <v>166</v>
      </c>
      <c r="D177" s="2">
        <v>3176104.91</v>
      </c>
    </row>
    <row r="178" spans="1:4" x14ac:dyDescent="0.3">
      <c r="A178" t="s">
        <v>182</v>
      </c>
      <c r="B178" s="46">
        <v>2420</v>
      </c>
      <c r="C178" s="50" t="s">
        <v>167</v>
      </c>
      <c r="D178" s="2">
        <v>0</v>
      </c>
    </row>
    <row r="179" spans="1:4" x14ac:dyDescent="0.3">
      <c r="A179" t="s">
        <v>182</v>
      </c>
      <c r="B179" s="46">
        <v>2700</v>
      </c>
      <c r="C179" s="50" t="s">
        <v>168</v>
      </c>
      <c r="D179" s="2">
        <v>4132126.59</v>
      </c>
    </row>
    <row r="180" spans="1:4" x14ac:dyDescent="0.3">
      <c r="A180" t="s">
        <v>182</v>
      </c>
      <c r="B180" s="46">
        <v>2890</v>
      </c>
      <c r="C180" s="50" t="s">
        <v>169</v>
      </c>
      <c r="D180" s="2">
        <v>0</v>
      </c>
    </row>
    <row r="181" spans="1:4" x14ac:dyDescent="0.3">
      <c r="A181" t="s">
        <v>182</v>
      </c>
      <c r="B181" s="46">
        <v>2840</v>
      </c>
      <c r="C181" s="50" t="s">
        <v>170</v>
      </c>
      <c r="D181" s="2">
        <v>505481.07</v>
      </c>
    </row>
    <row r="182" spans="1:4" x14ac:dyDescent="0.3">
      <c r="A182" t="s">
        <v>182</v>
      </c>
      <c r="B182" s="46">
        <v>2860</v>
      </c>
      <c r="C182" s="50" t="s">
        <v>171</v>
      </c>
      <c r="D182" s="2">
        <v>1775826.93</v>
      </c>
    </row>
    <row r="183" spans="1:4" x14ac:dyDescent="0.3">
      <c r="A183" t="s">
        <v>182</v>
      </c>
      <c r="B183" s="46">
        <v>2290</v>
      </c>
      <c r="C183" s="50" t="s">
        <v>172</v>
      </c>
      <c r="D183" s="2">
        <v>0</v>
      </c>
    </row>
    <row r="184" spans="1:4" x14ac:dyDescent="0.3">
      <c r="A184" t="s">
        <v>182</v>
      </c>
      <c r="B184" s="46">
        <v>2902</v>
      </c>
      <c r="C184" s="50" t="s">
        <v>173</v>
      </c>
      <c r="D184" s="2">
        <v>11357133.93</v>
      </c>
    </row>
    <row r="185" spans="1:4" x14ac:dyDescent="0.3">
      <c r="A185" t="s">
        <v>182</v>
      </c>
      <c r="B185" s="46">
        <v>2990</v>
      </c>
      <c r="C185" s="47" t="s">
        <v>174</v>
      </c>
      <c r="D185" s="2">
        <v>318589.28999999998</v>
      </c>
    </row>
    <row r="186" spans="1:4" x14ac:dyDescent="0.3">
      <c r="A186" t="s">
        <v>182</v>
      </c>
      <c r="B186" s="40"/>
      <c r="C186" s="41" t="s">
        <v>175</v>
      </c>
      <c r="D186" s="2">
        <f>SUM(D172:D185)</f>
        <v>22912513.199999999</v>
      </c>
    </row>
    <row r="187" spans="1:4" x14ac:dyDescent="0.3">
      <c r="A187" t="s">
        <v>182</v>
      </c>
      <c r="B187" s="62"/>
      <c r="C187" s="63" t="s">
        <v>176</v>
      </c>
      <c r="D187" s="2">
        <f>D186+D170+D161</f>
        <v>53015269.780000001</v>
      </c>
    </row>
    <row r="188" spans="1:4" x14ac:dyDescent="0.3">
      <c r="D188" s="65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Rafael Claro</dc:creator>
  <cp:lastModifiedBy>Bruno Rafael Claro</cp:lastModifiedBy>
  <dcterms:created xsi:type="dcterms:W3CDTF">2025-12-08T19:52:58Z</dcterms:created>
  <dcterms:modified xsi:type="dcterms:W3CDTF">2025-12-08T21:34:42Z</dcterms:modified>
</cp:coreProperties>
</file>